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efb518cb82741c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ssumptions" sheetId="1" r:id="R187411113aaf40fe"/>
    <x:sheet xmlns:r="http://schemas.openxmlformats.org/officeDocument/2006/relationships" name="LBO Model" sheetId="2" r:id="R698de82fc1564f34"/>
    <x:sheet xmlns:r="http://schemas.openxmlformats.org/officeDocument/2006/relationships" name="Scenario Analysis" sheetId="3" r:id="Rb025dff432154e2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.0%"/>
    <x:numFmt numFmtId="201" formatCode="$#,##0.0;[Red]($#,##0.0);-"/>
    <x:numFmt numFmtId="202" formatCode="0.0x"/>
  </x:numFmts>
  <x:fonts count="3">
    <x:font>
      <x:sz val="11"/>
      <x:name val="Carlito"/>
    </x:font>
    <x:font>
      <x:b/>
      <x:sz val="11"/>
      <x:color rgb="FFFFFFFF"/>
      <x:name val="Carlito"/>
    </x:font>
    <x:font>
      <x:sz val="11"/>
      <x:color rgb="FF0000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7365D"/>
      </x:patternFill>
    </x:fill>
  </x:fills>
  <x:borders count="2">
    <x:border/>
    <x:border/>
  </x:borders>
  <x:cellStyleXfs count="1">
    <x:xf numFmtId="0" fontId="0" fillId="0" borderId="0"/>
  </x:cellStyleXfs>
  <x:cellXfs count="2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wrapText="1"/>
    </x:xf>
    <x:xf numFmtId="0" fontId="2" fillId="0" borderId="0" xfId="0" applyNumberFormat="1" applyFont="1" applyFill="1" applyBorder="1"/>
    <x:xf numFmtId="0" fontId="2" fillId="0" borderId="1" xfId="0" applyNumberFormat="1" applyFont="1" applyFill="1" applyBorder="1"/>
    <x:xf numFmtId="200" fontId="2" fillId="0" borderId="0" xfId="0" applyNumberFormat="1" applyFont="1" applyFill="1" applyBorder="1"/>
    <x:xf numFmtId="200" fontId="2" fillId="0" borderId="1" xfId="0" applyNumberFormat="1" applyFont="1" applyFill="1" applyBorder="1"/>
    <x:xf numFmtId="201" fontId="2" fillId="0" borderId="0" xfId="0" applyNumberFormat="1" applyFont="1" applyFill="1" applyBorder="1"/>
    <x:xf numFmtId="201" fontId="2" fillId="0" borderId="1" xfId="0" applyNumberFormat="1" applyFont="1" applyFill="1" applyBorder="1"/>
    <x:xf numFmtId="202" fontId="2" fillId="0" borderId="0" xfId="0" applyNumberFormat="1" applyFont="1" applyFill="1" applyBorder="1"/>
    <x:xf numFmtId="202" fontId="2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2" fontId="0" fillId="0" borderId="0" xfId="0" applyNumberFormat="1" applyFont="1" applyFill="1" applyBorder="1"/>
    <x:xf numFmtId="202" fontId="0" fillId="0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8481569e5174172" /><Relationship Type="http://schemas.openxmlformats.org/officeDocument/2006/relationships/theme" Target="/xl/theme/theme1.xml" Id="R51dccec729144d9e" /><Relationship Type="http://schemas.openxmlformats.org/officeDocument/2006/relationships/sharedStrings" Target="/xl/sharedStrings.xml" Id="Rff401251e64e49b6" /><Relationship Type="http://schemas.openxmlformats.org/officeDocument/2006/relationships/worksheet" Target="/xl/worksheets/sheet1.xml" Id="R187411113aaf40fe" /><Relationship Type="http://schemas.openxmlformats.org/officeDocument/2006/relationships/worksheet" Target="/xl/worksheets/sheet2.xml" Id="R698de82fc1564f34" /><Relationship Type="http://schemas.openxmlformats.org/officeDocument/2006/relationships/worksheet" Target="/xl/worksheets/sheet3.xml" Id="Rb025dff432154e2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24" hidden="0" customWidth="1"/>
  </x:cols>
  <x:sheetData>
    <x:row r="1">
      <x:c r="A1" s="6" t="str">
        <x:v>Northstar Synthetic Investment Model</x:v>
      </x:c>
      <x:c r="B1" s="6"/>
      <x:c r="C1" s="6"/>
      <x:c r="D1" s="6"/>
    </x:row>
    <x:row r="3">
      <x:c r="A3" s="6" t="str">
        <x:v>Assumption</x:v>
      </x:c>
      <x:c r="B3" s="6" t="str">
        <x:v>Value</x:v>
      </x:c>
    </x:row>
    <x:row r="4">
      <x:c r="A4" t="str">
        <x:v>Entry Revenue ($mm)</x:v>
      </x:c>
      <x:c r="B4" s="12" t="n">
        <x:v>120</x:v>
      </x:c>
    </x:row>
    <x:row r="5">
      <x:c r="A5" t="str">
        <x:v>Entry EBITDA Margin</x:v>
      </x:c>
      <x:c r="B5" s="10" t="n">
        <x:v>0.22</x:v>
      </x:c>
    </x:row>
    <x:row r="6">
      <x:c r="A6" t="str">
        <x:v>Revenue Growth</x:v>
      </x:c>
      <x:c r="B6" s="10" t="n">
        <x:v>0.12</x:v>
      </x:c>
    </x:row>
    <x:row r="7">
      <x:c r="A7" t="str">
        <x:v>EBITDA Margin - Exit</x:v>
      </x:c>
      <x:c r="B7" s="10" t="n">
        <x:v>0.26</x:v>
      </x:c>
    </x:row>
    <x:row r="8">
      <x:c r="A8" t="str">
        <x:v>Entry Multiple (EV/EBITDA)</x:v>
      </x:c>
      <x:c r="B8" s="14" t="n">
        <x:v>11</x:v>
      </x:c>
    </x:row>
    <x:row r="9">
      <x:c r="A9" t="str">
        <x:v>Debt / EBITDA</x:v>
      </x:c>
      <x:c r="B9" s="14" t="n">
        <x:v>4</x:v>
      </x:c>
    </x:row>
    <x:row r="10">
      <x:c r="A10" t="str">
        <x:v>Interest Rate</x:v>
      </x:c>
      <x:c r="B10" s="10" t="n">
        <x:v>0.075</x:v>
      </x:c>
    </x:row>
    <x:row r="11">
      <x:c r="A11" t="str">
        <x:v>Annual Debt Paydown ($mm)</x:v>
      </x:c>
      <x:c r="B11" s="12" t="n">
        <x:v>12</x:v>
      </x:c>
    </x:row>
    <x:row r="12">
      <x:c r="A12" t="str">
        <x:v>Holding Period (Years)</x:v>
      </x:c>
      <x:c r="B12" s="8" t="n">
        <x:v>5</x:v>
      </x:c>
    </x:row>
    <x:row r="13">
      <x:c r="A13" t="str">
        <x:v>Exit Multiple (EV/EBITDA)</x:v>
      </x:c>
      <x:c r="B13" s="14" t="n">
        <x:v>12</x:v>
      </x:c>
    </x:row>
    <x:row r="14">
      <x:c r="A14" t="str">
        <x:v>Tax Rate</x:v>
      </x:c>
      <x:c r="B14" s="10" t="n">
        <x:v>0.25</x:v>
      </x:c>
    </x:row>
    <x:row r="15">
      <x:c r="A15" t="str">
        <x:v>Source</x:v>
      </x:c>
      <x:c r="B15" t="str">
        <x:v>Synthetic portfolio assumption</x:v>
      </x:c>
    </x:row>
  </x:sheetData>
  <x:mergeCells>
    <x:mergeCell ref="A1:D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</x:cols>
  <x:sheetData>
    <x:row r="1">
      <x:c r="A1" s="6" t="str">
        <x:v>Simplified LBO-Style Model ($mm except per-share/multiples)</x:v>
      </x:c>
      <x:c r="B1" s="6"/>
      <x:c r="C1" s="6"/>
      <x:c r="D1" s="6"/>
      <x:c r="E1" s="6"/>
      <x:c r="F1" s="6"/>
      <x:c r="G1" s="6"/>
    </x:row>
    <x:row r="3">
      <x:c r="A3" s="6" t="str">
        <x:v>Operating Case</x:v>
      </x:c>
      <x:c r="B3" s="6" t="str">
        <x:v>Entry</x:v>
      </x:c>
      <x:c r="C3" s="6" t="str">
        <x:v>Year 1</x:v>
      </x:c>
      <x:c r="D3" s="6" t="str">
        <x:v>Year 2</x:v>
      </x:c>
      <x:c r="E3" s="6" t="str">
        <x:v>Year 3</x:v>
      </x:c>
      <x:c r="F3" s="6" t="str">
        <x:v>Year 4</x:v>
      </x:c>
      <x:c r="G3" s="6" t="str">
        <x:v>Year 5</x:v>
      </x:c>
    </x:row>
    <x:row r="4">
      <x:c r="A4" t="str">
        <x:v>Revenue</x:v>
      </x:c>
      <x:c r="B4" s="16" t="n">
        <x:f>Assumptions!B4</x:f>
        <x:v>120</x:v>
      </x:c>
      <x:c r="C4" s="16" t="n">
        <x:f>B4*(1+Assumptions!$B$6)</x:f>
        <x:v>134.4</x:v>
      </x:c>
      <x:c r="D4" s="16" t="n">
        <x:f>C4*(1+Assumptions!$B$6)</x:f>
        <x:v>150.52800000000002</x:v>
      </x:c>
      <x:c r="E4" s="16" t="n">
        <x:f>D4*(1+Assumptions!$B$6)</x:f>
        <x:v>168.59136000000004</x:v>
      </x:c>
      <x:c r="F4" s="16" t="n">
        <x:f>E4*(1+Assumptions!$B$6)</x:f>
        <x:v>188.82232320000006</x:v>
      </x:c>
      <x:c r="G4" s="16" t="n">
        <x:f>F4*(1+Assumptions!$B$6)</x:f>
        <x:v>211.48100198400007</x:v>
      </x:c>
    </x:row>
    <x:row r="5">
      <x:c r="A5" t="str">
        <x:v>Growth</x:v>
      </x:c>
      <x:c r="B5" s="18" t="str">
        <x:v>-</x:v>
      </x:c>
      <x:c r="C5" s="18" t="n">
        <x:f>Assumptions!$B$6</x:f>
        <x:v>0.12</x:v>
      </x:c>
      <x:c r="D5" s="18" t="n">
        <x:f>Assumptions!$B$6</x:f>
        <x:v>0.12</x:v>
      </x:c>
      <x:c r="E5" s="18" t="n">
        <x:f>Assumptions!$B$6</x:f>
        <x:v>0.12</x:v>
      </x:c>
      <x:c r="F5" s="18" t="n">
        <x:f>Assumptions!$B$6</x:f>
        <x:v>0.12</x:v>
      </x:c>
      <x:c r="G5" s="18" t="n">
        <x:f>Assumptions!$B$6</x:f>
        <x:v>0.12</x:v>
      </x:c>
    </x:row>
    <x:row r="6">
      <x:c r="A6" t="str">
        <x:v>EBITDA Margin</x:v>
      </x:c>
      <x:c r="B6" s="18" t="n">
        <x:f>Assumptions!B5</x:f>
        <x:v>0.22</x:v>
      </x:c>
      <x:c r="C6" s="18" t="n">
        <x:f>Assumptions!$B$5+(Assumptions!$B$7-Assumptions!$B$5)*1/Assumptions!$B$12</x:f>
        <x:v>0.228</x:v>
      </x:c>
      <x:c r="D6" s="18" t="n">
        <x:f>Assumptions!$B$5+(Assumptions!$B$7-Assumptions!$B$5)*2/Assumptions!$B$12</x:f>
        <x:v>0.23600000000000002</x:v>
      </x:c>
      <x:c r="E6" s="18" t="n">
        <x:f>Assumptions!$B$5+(Assumptions!$B$7-Assumptions!$B$5)*3/Assumptions!$B$12</x:f>
        <x:v>0.244</x:v>
      </x:c>
      <x:c r="F6" s="18" t="n">
        <x:f>Assumptions!$B$5+(Assumptions!$B$7-Assumptions!$B$5)*4/Assumptions!$B$12</x:f>
        <x:v>0.252</x:v>
      </x:c>
      <x:c r="G6" s="18" t="n">
        <x:f>Assumptions!$B$5+(Assumptions!$B$7-Assumptions!$B$5)*5/Assumptions!$B$12</x:f>
        <x:v>0.26</x:v>
      </x:c>
    </x:row>
    <x:row r="7">
      <x:c r="A7" t="str">
        <x:v>EBITDA</x:v>
      </x:c>
      <x:c r="B7" s="16" t="n">
        <x:f>B4*B6</x:f>
        <x:v>26.4</x:v>
      </x:c>
      <x:c r="C7" s="16" t="n">
        <x:f>C4*C6</x:f>
        <x:v>30.643200000000004</x:v>
      </x:c>
      <x:c r="D7" s="16" t="n">
        <x:f>D4*D6</x:f>
        <x:v>35.52460800000001</x:v>
      </x:c>
      <x:c r="E7" s="16" t="n">
        <x:f>E4*E6</x:f>
        <x:v>41.136291840000005</x:v>
      </x:c>
      <x:c r="F7" s="16" t="n">
        <x:f>F4*F6</x:f>
        <x:v>47.583225446400014</x:v>
      </x:c>
      <x:c r="G7" s="16" t="n">
        <x:f>G4*G6</x:f>
        <x:v>54.98506051584002</x:v>
      </x:c>
    </x:row>
    <x:row r="8">
      <x:c r="A8" t="str">
        <x:v>Debt Balance</x:v>
      </x:c>
      <x:c r="B8" s="16" t="n">
        <x:f>B7*Assumptions!B9</x:f>
        <x:v>105.6</x:v>
      </x:c>
      <x:c r="C8" s="16" t="n">
        <x:f>MAX(0,B8-Assumptions!$B$11)</x:f>
        <x:v>93.6</x:v>
      </x:c>
      <x:c r="D8" s="16" t="n">
        <x:f>MAX(0,C8-Assumptions!$B$11)</x:f>
        <x:v>81.6</x:v>
      </x:c>
      <x:c r="E8" s="16" t="n">
        <x:f>MAX(0,D8-Assumptions!$B$11)</x:f>
        <x:v>69.6</x:v>
      </x:c>
      <x:c r="F8" s="16" t="n">
        <x:f>MAX(0,E8-Assumptions!$B$11)</x:f>
        <x:v>57.599999999999994</x:v>
      </x:c>
      <x:c r="G8" s="16" t="n">
        <x:f>MAX(0,F8-Assumptions!$B$11)</x:f>
        <x:v>45.599999999999994</x:v>
      </x:c>
    </x:row>
    <x:row r="10">
      <x:c r="A10" s="6" t="str">
        <x:v>Returns Bridge</x:v>
      </x:c>
      <x:c r="B10" s="6" t="str">
        <x:v>Value</x:v>
      </x:c>
    </x:row>
    <x:row r="11">
      <x:c r="A11" t="str">
        <x:v>Entry Enterprise Value</x:v>
      </x:c>
      <x:c r="B11" s="16" t="n">
        <x:f>B7*Assumptions!B8</x:f>
        <x:v>290.4</x:v>
      </x:c>
    </x:row>
    <x:row r="12">
      <x:c r="A12" t="str">
        <x:v>Entry Debt</x:v>
      </x:c>
      <x:c r="B12" s="16" t="n">
        <x:f>B7*Assumptions!B9</x:f>
        <x:v>105.6</x:v>
      </x:c>
    </x:row>
    <x:row r="13">
      <x:c r="A13" t="str">
        <x:v>Entry Equity</x:v>
      </x:c>
      <x:c r="B13" s="16" t="n">
        <x:f>B11-B12</x:f>
        <x:v>184.79999999999998</x:v>
      </x:c>
    </x:row>
    <x:row r="14">
      <x:c r="A14" t="str">
        <x:v>Exit EBITDA</x:v>
      </x:c>
      <x:c r="B14" s="16" t="n">
        <x:f>G7</x:f>
        <x:v>54.98506051584002</x:v>
      </x:c>
    </x:row>
    <x:row r="15">
      <x:c r="A15" t="str">
        <x:v>Exit Enterprise Value</x:v>
      </x:c>
      <x:c r="B15" s="16" t="n">
        <x:f>B14*Assumptions!B13</x:f>
        <x:v>659.8207261900802</x:v>
      </x:c>
    </x:row>
    <x:row r="16">
      <x:c r="A16" t="str">
        <x:v>Exit Debt</x:v>
      </x:c>
      <x:c r="B16" s="16" t="n">
        <x:f>G8</x:f>
        <x:v>45.599999999999994</x:v>
      </x:c>
    </x:row>
    <x:row r="17">
      <x:c r="A17" t="str">
        <x:v>Exit Equity Value</x:v>
      </x:c>
      <x:c r="B17" s="16" t="n">
        <x:f>B15-B16</x:f>
        <x:v>614.2207261900802</x:v>
      </x:c>
    </x:row>
    <x:row r="18">
      <x:c r="A18" t="str">
        <x:v>MOIC</x:v>
      </x:c>
      <x:c r="B18" s="20" t="n">
        <x:f>B17/B13</x:f>
        <x:v>3.3237052283013</x:v>
      </x:c>
    </x:row>
    <x:row r="19">
      <x:c r="A19" t="str">
        <x:v>IRR</x:v>
      </x:c>
      <x:c r="B19" s="18" t="n">
        <x:f>(B18^(1/Assumptions!B12))-1</x:f>
        <x:v>0.2715238189395519</x:v>
      </x:c>
    </x:row>
  </x:sheetData>
  <x:mergeCells>
    <x:mergeCell ref="A1:G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</x:cols>
  <x:sheetData>
    <x:row r="1">
      <x:c r="A1" s="6" t="str">
        <x:v>Exit Multiple Sensitivity (MOIC)</x:v>
      </x:c>
      <x:c r="B1" s="6"/>
      <x:c r="C1" s="6"/>
      <x:c r="D1" s="6"/>
      <x:c r="E1" s="6"/>
    </x:row>
    <x:row r="3">
      <x:c r="A3" s="6" t="str">
        <x:v>Exit Multiple</x:v>
      </x:c>
      <x:c r="B3" s="6" t="str">
        <x:v>10.0x</x:v>
      </x:c>
      <x:c r="C3" s="6" t="str">
        <x:v>11.0x</x:v>
      </x:c>
      <x:c r="D3" s="6" t="str">
        <x:v>12.0x</x:v>
      </x:c>
      <x:c r="E3" s="6" t="str">
        <x:v>13.0x</x:v>
      </x:c>
    </x:row>
    <x:row r="4">
      <x:c r="A4" t="str">
        <x:v>8% Growth</x:v>
      </x:c>
      <x:c r="B4" s="20" t="n">
        <x:f>(((Assumptions!$B$4*(1+0.08)^Assumptions!$B$12)*Assumptions!$B$7*10)-MAX(0,(Assumptions!$B$4*Assumptions!$B$5*Assumptions!$B$9)-Assumptions!$B$11*Assumptions!$B$12))/((Assumptions!$B$4*Assumptions!$B$5*Assumptions!$B$8)-(Assumptions!$B$4*Assumptions!$B$5*Assumptions!$B$9))</x:f>
        <x:v>2.2339305192727283</x:v>
      </x:c>
      <x:c r="C4" s="20" t="n">
        <x:f>(((Assumptions!$B$4*(1+0.08)^Assumptions!$B$12)*Assumptions!$B$7*11)-MAX(0,(Assumptions!$B$4*Assumptions!$B$5*Assumptions!$B$9)-Assumptions!$B$11*Assumptions!$B$12))/((Assumptions!$B$4*Assumptions!$B$5*Assumptions!$B$8)-(Assumptions!$B$4*Assumptions!$B$5*Assumptions!$B$9))</x:f>
        <x:v>2.481998895875326</x:v>
      </x:c>
      <x:c r="D4" s="20" t="n">
        <x:f>(((Assumptions!$B$4*(1+0.08)^Assumptions!$B$12)*Assumptions!$B$7*12)-MAX(0,(Assumptions!$B$4*Assumptions!$B$5*Assumptions!$B$9)-Assumptions!$B$11*Assumptions!$B$12))/((Assumptions!$B$4*Assumptions!$B$5*Assumptions!$B$8)-(Assumptions!$B$4*Assumptions!$B$5*Assumptions!$B$9))</x:f>
        <x:v>2.730067272477923</x:v>
      </x:c>
      <x:c r="E4" s="20" t="n">
        <x:f>(((Assumptions!$B$4*(1+0.08)^Assumptions!$B$12)*Assumptions!$B$7*13)-MAX(0,(Assumptions!$B$4*Assumptions!$B$5*Assumptions!$B$9)-Assumptions!$B$11*Assumptions!$B$12))/((Assumptions!$B$4*Assumptions!$B$5*Assumptions!$B$8)-(Assumptions!$B$4*Assumptions!$B$5*Assumptions!$B$9))</x:f>
        <x:v>2.9781356490805204</x:v>
      </x:c>
    </x:row>
    <x:row r="5">
      <x:c r="A5" t="str">
        <x:v>10% Growth</x:v>
      </x:c>
      <x:c r="B5" s="20" t="n">
        <x:f>(((Assumptions!$B$4*(1+0.1)^Assumptions!$B$12)*Assumptions!$B$7*10)-MAX(0,(Assumptions!$B$4*Assumptions!$B$5*Assumptions!$B$9)-Assumptions!$B$11*Assumptions!$B$12))/((Assumptions!$B$4*Assumptions!$B$5*Assumptions!$B$8)-(Assumptions!$B$4*Assumptions!$B$5*Assumptions!$B$9))</x:f>
        <x:v>2.4722896103896117</x:v>
      </x:c>
      <x:c r="C5" s="20" t="n">
        <x:f>(((Assumptions!$B$4*(1+0.1)^Assumptions!$B$12)*Assumptions!$B$7*11)-MAX(0,(Assumptions!$B$4*Assumptions!$B$5*Assumptions!$B$9)-Assumptions!$B$11*Assumptions!$B$12))/((Assumptions!$B$4*Assumptions!$B$5*Assumptions!$B$8)-(Assumptions!$B$4*Assumptions!$B$5*Assumptions!$B$9))</x:f>
        <x:v>2.744193896103897</x:v>
      </x:c>
      <x:c r="D5" s="20" t="n">
        <x:f>(((Assumptions!$B$4*(1+0.1)^Assumptions!$B$12)*Assumptions!$B$7*12)-MAX(0,(Assumptions!$B$4*Assumptions!$B$5*Assumptions!$B$9)-Assumptions!$B$11*Assumptions!$B$12))/((Assumptions!$B$4*Assumptions!$B$5*Assumptions!$B$8)-(Assumptions!$B$4*Assumptions!$B$5*Assumptions!$B$9))</x:f>
        <x:v>3.0160981818181827</x:v>
      </x:c>
      <x:c r="E5" s="20" t="n">
        <x:f>(((Assumptions!$B$4*(1+0.1)^Assumptions!$B$12)*Assumptions!$B$7*13)-MAX(0,(Assumptions!$B$4*Assumptions!$B$5*Assumptions!$B$9)-Assumptions!$B$11*Assumptions!$B$12))/((Assumptions!$B$4*Assumptions!$B$5*Assumptions!$B$8)-(Assumptions!$B$4*Assumptions!$B$5*Assumptions!$B$9))</x:f>
        <x:v>3.288002467532469</x:v>
      </x:c>
    </x:row>
    <x:row r="6">
      <x:c r="A6" t="str">
        <x:v>12% Growth</x:v>
      </x:c>
      <x:c r="B6" s="20" t="n">
        <x:f>(((Assumptions!$B$4*(1+0.12)^Assumptions!$B$12)*Assumptions!$B$7*10)-MAX(0,(Assumptions!$B$4*Assumptions!$B$5*Assumptions!$B$9)-Assumptions!$B$11*Assumptions!$B$12))/((Assumptions!$B$4*Assumptions!$B$5*Assumptions!$B$8)-(Assumptions!$B$4*Assumptions!$B$5*Assumptions!$B$9))</x:f>
        <x:v>2.728628815792209</x:v>
      </x:c>
      <x:c r="C6" s="20" t="n">
        <x:f>(((Assumptions!$B$4*(1+0.12)^Assumptions!$B$12)*Assumptions!$B$7*11)-MAX(0,(Assumptions!$B$4*Assumptions!$B$5*Assumptions!$B$9)-Assumptions!$B$11*Assumptions!$B$12))/((Assumptions!$B$4*Assumptions!$B$5*Assumptions!$B$8)-(Assumptions!$B$4*Assumptions!$B$5*Assumptions!$B$9))</x:f>
        <x:v>3.0261670220467547</x:v>
      </x:c>
      <x:c r="D6" s="20" t="n">
        <x:f>(((Assumptions!$B$4*(1+0.12)^Assumptions!$B$12)*Assumptions!$B$7*12)-MAX(0,(Assumptions!$B$4*Assumptions!$B$5*Assumptions!$B$9)-Assumptions!$B$11*Assumptions!$B$12))/((Assumptions!$B$4*Assumptions!$B$5*Assumptions!$B$8)-(Assumptions!$B$4*Assumptions!$B$5*Assumptions!$B$9))</x:f>
        <x:v>3.3237052283013</x:v>
      </x:c>
      <x:c r="E6" s="20" t="n">
        <x:f>(((Assumptions!$B$4*(1+0.12)^Assumptions!$B$12)*Assumptions!$B$7*13)-MAX(0,(Assumptions!$B$4*Assumptions!$B$5*Assumptions!$B$9)-Assumptions!$B$11*Assumptions!$B$12))/((Assumptions!$B$4*Assumptions!$B$5*Assumptions!$B$8)-(Assumptions!$B$4*Assumptions!$B$5*Assumptions!$B$9))</x:f>
        <x:v>3.6212434345558457</x:v>
      </x:c>
    </x:row>
    <x:row r="7">
      <x:c r="A7" t="str">
        <x:v>14% Growth</x:v>
      </x:c>
      <x:c r="B7" s="20" t="n">
        <x:f>(((Assumptions!$B$4*(1+0.14)^Assumptions!$B$12)*Assumptions!$B$7*10)-MAX(0,(Assumptions!$B$4*Assumptions!$B$5*Assumptions!$B$9)-Assumptions!$B$11*Assumptions!$B$12))/((Assumptions!$B$4*Assumptions!$B$5*Assumptions!$B$8)-(Assumptions!$B$4*Assumptions!$B$5*Assumptions!$B$9))</x:f>
        <x:v>3.0039466975584435</x:v>
      </x:c>
      <x:c r="C7" s="20" t="n">
        <x:f>(((Assumptions!$B$4*(1+0.14)^Assumptions!$B$12)*Assumptions!$B$7*11)-MAX(0,(Assumptions!$B$4*Assumptions!$B$5*Assumptions!$B$9)-Assumptions!$B$11*Assumptions!$B$12))/((Assumptions!$B$4*Assumptions!$B$5*Assumptions!$B$8)-(Assumptions!$B$4*Assumptions!$B$5*Assumptions!$B$9))</x:f>
        <x:v>3.3290166919896125</x:v>
      </x:c>
      <x:c r="D7" s="20" t="n">
        <x:f>(((Assumptions!$B$4*(1+0.14)^Assumptions!$B$12)*Assumptions!$B$7*12)-MAX(0,(Assumptions!$B$4*Assumptions!$B$5*Assumptions!$B$9)-Assumptions!$B$11*Assumptions!$B$12))/((Assumptions!$B$4*Assumptions!$B$5*Assumptions!$B$8)-(Assumptions!$B$4*Assumptions!$B$5*Assumptions!$B$9))</x:f>
        <x:v>3.654086686420782</x:v>
      </x:c>
      <x:c r="E7" s="20" t="n">
        <x:f>(((Assumptions!$B$4*(1+0.14)^Assumptions!$B$12)*Assumptions!$B$7*13)-MAX(0,(Assumptions!$B$4*Assumptions!$B$5*Assumptions!$B$9)-Assumptions!$B$11*Assumptions!$B$12))/((Assumptions!$B$4*Assumptions!$B$5*Assumptions!$B$8)-(Assumptions!$B$4*Assumptions!$B$5*Assumptions!$B$9))</x:f>
        <x:v>3.979156680851951</x:v>
      </x:c>
    </x:row>
  </x:sheetData>
  <x:mergeCells>
    <x:mergeCell ref="A1:E1"/>
  </x:mergeCells>
  <x:pageMargins left="0.7" right="0.7" top="0.75" bottom="0.75" header="0.3" footer="0.3"/>
</x:worksheet>
</file>